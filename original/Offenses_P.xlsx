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</sheets>
  <definedNames>
    <definedName name="SCH_367_Female">#REF!</definedName>
    <definedName name="S3534_T">#REF!</definedName>
    <definedName name="SCH_366_Female">#REF!</definedName>
    <definedName name="_S353">#REF!</definedName>
    <definedName name="SCH_362_Total">#REF!</definedName>
    <definedName name="SCH_3656_Total">#REF!</definedName>
    <definedName name="S359_F">#REF!</definedName>
    <definedName name="SCH_3634_Male">#REF!</definedName>
    <definedName name="SCH_3656_Male">#REF!</definedName>
    <definedName name="SCH_359_Female">#REF!</definedName>
    <definedName name="SCH_3534_Female">#REF!</definedName>
    <definedName name="_S359">#REF!</definedName>
    <definedName name="Enroll_Summary_2">#REF!</definedName>
    <definedName name="SCH_363_Female">#REF!</definedName>
    <definedName name="Enroll_Summary_7">#REF!</definedName>
    <definedName name="SCH_352_Female">#REF!</definedName>
    <definedName name="S357_M">#REF!</definedName>
    <definedName name="S353_T">#REF!</definedName>
    <definedName name="S359_T">#REF!</definedName>
    <definedName name="SCH_3556_Total">#REF!</definedName>
    <definedName name="SCH_354_Female">#REF!</definedName>
    <definedName name="Incompletes_LEA_0036">#REF!</definedName>
    <definedName name="Enroll_Summary_6">#REF!</definedName>
    <definedName name="SCH_354_Total">#REF!</definedName>
    <definedName name="SCH_3534_Total">#REF!</definedName>
    <definedName name="SCH_359_Male">#REF!</definedName>
    <definedName name="Exc_Summary_34_56">#REF!</definedName>
    <definedName name="SCH_3634_Total">#REF!</definedName>
    <definedName name="Enroll_Summary">#REF!</definedName>
    <definedName name="SCH_358_Total">#REF!</definedName>
    <definedName name="SCH_367_Total">#REF!</definedName>
    <definedName name="Enroll_Summary_3">#REF!</definedName>
    <definedName name="Enroll_Summary_56">#REF!</definedName>
    <definedName name="SCH_362_Female">#REF!</definedName>
    <definedName name="Enroll_Summary_34">#REF!</definedName>
    <definedName name="Enroll_Summary_4">#REF!</definedName>
    <definedName name="Incompletes">#REF!</definedName>
    <definedName name="SCH_368_Total">#REF!</definedName>
    <definedName name="S352_T">#REF!</definedName>
    <definedName name="SCH_365_Total">#REF!</definedName>
    <definedName name="S3534_F">#REF!</definedName>
    <definedName name="SCH_369_Female">#REF!</definedName>
    <definedName name="SCH_368_Male">#REF!</definedName>
    <definedName name="S354_T">#REF!</definedName>
    <definedName name="SCH_365_Male">#REF!</definedName>
    <definedName name="_S358">#REF!</definedName>
    <definedName name="S353_M">#REF!</definedName>
    <definedName name="SCH_358_Male">#REF!</definedName>
    <definedName name="S351_F">#REF!</definedName>
    <definedName name="S357_T">#REF!</definedName>
    <definedName name="S351_T">#REF!</definedName>
    <definedName name="S355_M">#REF!</definedName>
    <definedName name="SCH_356_Total">#REF!</definedName>
    <definedName name="S358_M">#REF!</definedName>
    <definedName name="SCH_364_Male">#REF!</definedName>
    <definedName name="Excluded_Schools">#REF!</definedName>
    <definedName name="SCH_354_Male">#REF!</definedName>
    <definedName name="Enroll_Summary_8">#REF!</definedName>
    <definedName name="Incompletes_0035">#REF!</definedName>
    <definedName name="Excluded_Summary">#REF!</definedName>
    <definedName name="SCH_355_Female">#REF!</definedName>
    <definedName name="SCH_355_Male">#REF!</definedName>
    <definedName name="_S3556">#REF!</definedName>
    <definedName name="SCH_364_Total">#REF!</definedName>
    <definedName name="S358_T">#REF!</definedName>
    <definedName name="SCH_3656_Female">#REF!</definedName>
    <definedName name="SCH_3556_Female">#REF!</definedName>
    <definedName name="_S354">#REF!</definedName>
    <definedName name="SCH_366_Total">#REF!</definedName>
    <definedName name="S355_T">#REF!</definedName>
    <definedName name="S3556_T">#REF!</definedName>
    <definedName name="S357_F">#REF!</definedName>
    <definedName name="SCH_363_Male">#REF!</definedName>
    <definedName name="SCH_352_Total">#REF!</definedName>
    <definedName name="SCH_353_Male">#REF!</definedName>
    <definedName name="SCH_353_Female">#REF!</definedName>
    <definedName name="S352_F">#REF!</definedName>
    <definedName name="SCH_351_Male">#REF!</definedName>
    <definedName name="SCH_361_Female">#REF!</definedName>
    <definedName name="SCH_369_Total">#REF!</definedName>
    <definedName name="_S351">#REF!</definedName>
    <definedName name="S352_M">#REF!</definedName>
    <definedName name="S354_F">#REF!</definedName>
    <definedName name="SCH_364_Female">#REF!</definedName>
    <definedName name="S356_F">#REF!</definedName>
    <definedName name="SCH_3634_Female">#REF!</definedName>
    <definedName name="SCH_367_Male">#REF!</definedName>
    <definedName name="S351_M">#REF!</definedName>
    <definedName name="SCH_357_Total">#REF!</definedName>
    <definedName name="Enroll_Summary_5">#REF!</definedName>
    <definedName name="S358_F">#REF!</definedName>
    <definedName name="SCH_369_Male">#REF!</definedName>
    <definedName name="SCH_359_Total">#REF!</definedName>
    <definedName name="S353_F">#REF!</definedName>
    <definedName name="Enroll_Summary_9">#REF!</definedName>
    <definedName name="SCH_356_Female">#REF!</definedName>
    <definedName name="SCH_358_Female">#REF!</definedName>
    <definedName name="SCH_351_Female">#REF!</definedName>
    <definedName name="SCH_362_Male">#REF!</definedName>
    <definedName name="SCH_3556_Male">#REF!</definedName>
    <definedName name="S3534_M">#REF!</definedName>
    <definedName name="_S352">#REF!</definedName>
    <definedName name="Incompletes_0036">#REF!</definedName>
    <definedName name="_S357">#REF!</definedName>
    <definedName name="SCH_361_Total">Total!$A$6:$P$59</definedName>
    <definedName name="S354_M">#REF!</definedName>
    <definedName name="SCH_357_Female">#REF!</definedName>
    <definedName name="SCH_352_Male">#REF!</definedName>
    <definedName name="SCH_357_Male">#REF!</definedName>
    <definedName name="SCH_366_Male">#REF!</definedName>
    <definedName name="S359_M">#REF!</definedName>
    <definedName name="SCH_353_Total">#REF!</definedName>
    <definedName name="_S3534">#REF!</definedName>
    <definedName name="SCH_355_Total">#REF!</definedName>
    <definedName name="_S356">#REF!</definedName>
    <definedName name="SCH_363_Total">#REF!</definedName>
    <definedName name="Enroll_Summary_1">#REF!</definedName>
    <definedName name="S356_T">#REF!</definedName>
    <definedName name="_S355">#REF!</definedName>
    <definedName name="SCH_351_Total">#REF!</definedName>
    <definedName name="Exc_Schools_34_56">#REF!</definedName>
    <definedName name="SCH_368_Female">#REF!</definedName>
    <definedName name="SCH_356_Male">#REF!</definedName>
    <definedName name="S356_M">#REF!</definedName>
    <definedName name="S3556_F">#REF!</definedName>
    <definedName name="Enroll_Summary_34_56">#REF!</definedName>
    <definedName name="S3556_M">#REF!</definedName>
    <definedName name="S355_F">#REF!</definedName>
    <definedName name="SCH_361_Male">#REF!</definedName>
    <definedName name="Incompletes_LEA_0035">#REF!</definedName>
    <definedName name="SCH_365_Female">#REF!</definedName>
    <definedName name="SCH_3534_Male">#REF!</definedName>
  </definedNames>
  <calcPr/>
</workbook>
</file>

<file path=xl/sharedStrings.xml><?xml version="1.0" encoding="utf-8"?>
<sst xmlns="http://schemas.openxmlformats.org/spreadsheetml/2006/main" count="123" uniqueCount="72">
  <si>
    <t>State</t>
  </si>
  <si>
    <t>Rape or attempted rape</t>
  </si>
  <si>
    <t>Sexual assault</t>
  </si>
  <si>
    <t>Robbery with a weapon</t>
  </si>
  <si>
    <t>Robbery with a firearm or explosive</t>
  </si>
  <si>
    <t>Robbery without a weapon</t>
  </si>
  <si>
    <t>Physical attack or fight with a weapon</t>
  </si>
  <si>
    <t>Physical attack or fight with a firearm or explosive device</t>
  </si>
  <si>
    <t>Physical attack without a weapon</t>
  </si>
  <si>
    <t>Threats of physical attack with a weapon</t>
  </si>
  <si>
    <t>Threats of physical attack with a firearm or explosive device</t>
  </si>
  <si>
    <t>Threats of physical attack without a weapon</t>
  </si>
  <si>
    <t>Possession of a firearm or explosive device</t>
  </si>
  <si>
    <t>Number of Schools</t>
  </si>
  <si>
    <t xml:space="preserve">Percent of Schools Reporting </t>
  </si>
  <si>
    <t>school offenses by type</t>
  </si>
  <si>
    <t>PRESERVE:50 states, District of Columbia, and Puerto Rico</t>
  </si>
  <si>
    <t>Corporal punishment</t>
  </si>
  <si>
    <t>PRESERVE:Alabama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</si>
  <si>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</si>
  <si>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</si>
  <si>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</si>
  <si>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</si>
  <si>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</si>
  <si>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</si>
  <si>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</si>
  <si>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</si>
  <si>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</si>
  <si>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</si>
  <si>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</si>
  <si>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</si>
  <si>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</si>
  <si>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</si>
  <si>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</si>
  <si>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</si>
  <si>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</si>
  <si>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</si>
  <si>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</si>
  <si>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</si>
  <si>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</si>
  <si>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</si>
  <si>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</si>
  <si>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</si>
  <si>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</si>
  <si>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</si>
  <si>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</si>
  <si>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</si>
  <si>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</si>
  <si>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</si>
  <si>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</si>
  <si>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</si>
  <si>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</si>
  <si>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</si>
  <si>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</si>
  <si>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</si>
  <si>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</si>
  <si>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</si>
  <si>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</si>
  <si>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</si>
  <si>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</si>
  <si>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</si>
  <si>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</si>
  <si>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</si>
  <si>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</si>
  <si>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</si>
  <si>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</si>
  <si>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</si>
  <si>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</si>
  <si>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</si>
  <si>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</si>
  <si>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 xml:space="preserve">            Data reported in this table represent 99.8% of responding schools.</t>
  </si>
  <si>
    <t>SOURCE: U.S. Department of Education, Office for Civil Rights, Civil Rights Data Collection, 2017-18, available at http://ocrdata.ed.gov.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</si>
</sst>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"/>
    <numFmt numFmtId="165" formatCode="#,##0.0_)"/>
  </numFmts>
  <fonts count="11">
    <font>
      <sz val="11.0"/>
      <color theme="1"/>
      <name val="Calibri"/>
      <scheme val="minor"/>
    </font>
    <font>
      <sz val="11.0"/>
      <color theme="0"/>
      <name val="Arial"/>
    </font>
    <font>
      <sz val="11.0"/>
      <color theme="1"/>
      <name val="Arial"/>
    </font>
    <font>
      <sz val="14.0"/>
      <color theme="0"/>
      <name val="Arial"/>
    </font>
    <font>
      <b/>
      <sz val="14.0"/>
      <color rgb="FF333399"/>
      <name val="Arial"/>
    </font>
    <font>
      <sz val="14.0"/>
      <color theme="1"/>
      <name val="Arial"/>
    </font>
    <font>
      <b/>
      <sz val="11.0"/>
      <color theme="1"/>
      <name val="Arial"/>
    </font>
    <font>
      <sz val="10.0"/>
      <color theme="0"/>
      <name val="Arial"/>
    </font>
    <font>
      <b/>
      <sz val="10.0"/>
      <color theme="1"/>
      <name val="Arial"/>
    </font>
    <font>
      <sz val="10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9">
    <border/>
    <border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hair">
        <color rgb="FF000000"/>
      </right>
    </border>
    <border>
      <left style="hair">
        <color rgb="FF000000"/>
      </lef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hair">
        <color rgb="FF000000"/>
      </right>
      <top/>
      <bottom/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hair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" xfId="0" applyAlignment="1" applyFont="1" applyNumberFormat="1">
      <alignment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/>
    </xf>
    <xf borderId="1" fillId="0" fontId="6" numFmtId="0" xfId="0" applyBorder="1" applyFont="1"/>
    <xf borderId="1" fillId="0" fontId="2" numFmtId="1" xfId="0" applyAlignment="1" applyBorder="1" applyFont="1" applyNumberFormat="1">
      <alignment shrinkToFit="0" wrapText="1"/>
    </xf>
    <xf borderId="0" fillId="0" fontId="7" numFmtId="0" xfId="0" applyFont="1"/>
    <xf borderId="2" fillId="0" fontId="8" numFmtId="0" xfId="0" applyAlignment="1" applyBorder="1" applyFont="1">
      <alignment horizontal="left"/>
    </xf>
    <xf borderId="3" fillId="0" fontId="8" numFmtId="1" xfId="0" applyAlignment="1" applyBorder="1" applyFont="1" applyNumberFormat="1">
      <alignment horizontal="center" shrinkToFit="0" wrapText="1"/>
    </xf>
    <xf borderId="4" fillId="0" fontId="8" numFmtId="1" xfId="0" applyAlignment="1" applyBorder="1" applyFont="1" applyNumberFormat="1">
      <alignment horizontal="center" shrinkToFit="0" wrapText="1"/>
    </xf>
    <xf borderId="5" fillId="0" fontId="8" numFmtId="1" xfId="0" applyAlignment="1" applyBorder="1" applyFont="1" applyNumberFormat="1">
      <alignment horizontal="center" shrinkToFit="0" wrapText="1"/>
    </xf>
    <xf borderId="0" fillId="0" fontId="9" numFmtId="0" xfId="0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0" fontId="8" numFmtId="0" xfId="0" applyBorder="1" applyFont="1"/>
    <xf borderId="11" fillId="0" fontId="8" numFmtId="1" xfId="0" applyAlignment="1" applyBorder="1" applyFont="1" applyNumberFormat="1">
      <alignment shrinkToFit="0" wrapText="1"/>
    </xf>
    <xf borderId="12" fillId="0" fontId="8" numFmtId="1" xfId="0" applyAlignment="1" applyBorder="1" applyFont="1" applyNumberFormat="1">
      <alignment shrinkToFit="0" wrapText="1"/>
    </xf>
    <xf borderId="13" fillId="0" fontId="8" numFmtId="1" xfId="0" applyAlignment="1" applyBorder="1" applyFont="1" applyNumberFormat="1">
      <alignment shrinkToFit="0" wrapText="1"/>
    </xf>
    <xf borderId="14" fillId="2" fontId="8" numFmtId="0" xfId="0" applyAlignment="1" applyBorder="1" applyFill="1" applyFont="1">
      <alignment horizontal="left" readingOrder="0" vertical="center"/>
    </xf>
    <xf borderId="15" fillId="2" fontId="9" numFmtId="164" xfId="0" applyAlignment="1" applyBorder="1" applyFont="1" applyNumberFormat="1">
      <alignment horizontal="right"/>
    </xf>
    <xf borderId="15" fillId="2" fontId="9" numFmtId="37" xfId="0" applyBorder="1" applyFont="1" applyNumberFormat="1"/>
    <xf borderId="16" fillId="2" fontId="9" numFmtId="165" xfId="0" applyAlignment="1" applyBorder="1" applyFont="1" applyNumberFormat="1">
      <alignment horizontal="right"/>
    </xf>
    <xf borderId="0" fillId="0" fontId="9" numFmtId="0" xfId="0" applyAlignment="1" applyFont="1">
      <alignment readingOrder="0"/>
    </xf>
    <xf borderId="8" fillId="0" fontId="9" numFmtId="164" xfId="0" applyAlignment="1" applyBorder="1" applyFont="1" applyNumberFormat="1">
      <alignment horizontal="right"/>
    </xf>
    <xf borderId="8" fillId="0" fontId="9" numFmtId="37" xfId="0" applyBorder="1" applyFont="1" applyNumberFormat="1"/>
    <xf borderId="0" fillId="0" fontId="9" numFmtId="165" xfId="0" applyAlignment="1" applyFont="1" applyNumberFormat="1">
      <alignment horizontal="right"/>
    </xf>
    <xf borderId="16" fillId="2" fontId="9" numFmtId="0" xfId="0" applyBorder="1" applyFont="1"/>
    <xf borderId="17" fillId="2" fontId="9" numFmtId="0" xfId="0" applyBorder="1" applyFont="1"/>
    <xf borderId="18" fillId="2" fontId="9" numFmtId="164" xfId="0" applyAlignment="1" applyBorder="1" applyFont="1" applyNumberFormat="1">
      <alignment horizontal="right"/>
    </xf>
    <xf borderId="18" fillId="2" fontId="9" numFmtId="37" xfId="0" applyBorder="1" applyFont="1" applyNumberFormat="1"/>
    <xf borderId="17" fillId="2" fontId="9" numFmtId="165" xfId="0" applyAlignment="1" applyBorder="1" applyFont="1" applyNumberFormat="1">
      <alignment horizontal="right"/>
    </xf>
    <xf borderId="0" fillId="0" fontId="9" numFmtId="0" xfId="0" applyAlignment="1" applyFont="1">
      <alignment horizontal="left"/>
    </xf>
    <xf borderId="0" fillId="0" fontId="9" numFmtId="0" xfId="0" applyAlignment="1" applyFont="1">
      <alignment vertical="center"/>
    </xf>
    <xf borderId="16" fillId="3" fontId="1" numFmtId="0" xfId="0" applyBorder="1" applyFill="1" applyFont="1"/>
    <xf borderId="16" fillId="3" fontId="2" numFmtId="0" xfId="0" applyBorder="1" applyFont="1"/>
    <xf borderId="16" fillId="3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43"/>
    <col customWidth="1" min="2" max="2" width="45.43"/>
    <col customWidth="1" min="3" max="14" width="15.57"/>
    <col customWidth="1" min="15" max="16" width="12.57"/>
    <col customWidth="1" min="17" max="26" width="10.14"/>
  </cols>
  <sheetData>
    <row r="1" ht="15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4"/>
      <c r="B2" s="5" t="str">
        <f>CONCATENATE("Number of ",LOWER(A7), ", by state: School Year 2017-18")</f>
        <v>Number of school offenses by type, by state: School Year 2017-18</v>
      </c>
      <c r="S2" s="6"/>
      <c r="T2" s="6"/>
      <c r="U2" s="6"/>
      <c r="V2" s="6"/>
      <c r="W2" s="6"/>
      <c r="X2" s="6"/>
      <c r="Y2" s="6"/>
      <c r="Z2" s="6"/>
    </row>
    <row r="3" ht="15.0" customHeight="1">
      <c r="A3" s="1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9"/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2" t="s">
        <v>13</v>
      </c>
      <c r="P4" s="13" t="s">
        <v>14</v>
      </c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3.0" customHeight="1">
      <c r="A5" s="9"/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  <c r="P5" s="18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9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  <c r="P6" s="22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9" t="s">
        <v>15</v>
      </c>
      <c r="B7" s="23" t="s">
        <v>16</v>
      </c>
      <c r="C7" s="24">
        <v>685.0</v>
      </c>
      <c r="D7" s="24">
        <v>13114.0</v>
      </c>
      <c r="E7" s="24">
        <v>650.0</v>
      </c>
      <c r="F7" s="24">
        <v>283.0</v>
      </c>
      <c r="G7" s="24">
        <v>16480.0</v>
      </c>
      <c r="H7" s="24">
        <v>9178.0</v>
      </c>
      <c r="I7" s="24">
        <v>7217.0</v>
      </c>
      <c r="J7" s="24">
        <v>844435.0</v>
      </c>
      <c r="K7" s="24">
        <v>15577.0</v>
      </c>
      <c r="L7" s="24">
        <v>5676.0</v>
      </c>
      <c r="M7" s="24">
        <v>205028.0</v>
      </c>
      <c r="N7" s="24">
        <v>6786.0</v>
      </c>
      <c r="O7" s="25">
        <v>97632.0</v>
      </c>
      <c r="P7" s="26">
        <v>99.78</v>
      </c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0" customHeight="1">
      <c r="A8" s="9" t="s">
        <v>17</v>
      </c>
      <c r="B8" s="27" t="s">
        <v>18</v>
      </c>
      <c r="C8" s="28">
        <v>0.0</v>
      </c>
      <c r="D8" s="28">
        <v>297.0</v>
      </c>
      <c r="E8" s="28">
        <v>5.0</v>
      </c>
      <c r="F8" s="28">
        <v>0.0</v>
      </c>
      <c r="G8" s="28">
        <v>109.0</v>
      </c>
      <c r="H8" s="28">
        <v>66.0</v>
      </c>
      <c r="I8" s="28">
        <v>18.0</v>
      </c>
      <c r="J8" s="28">
        <v>15087.0</v>
      </c>
      <c r="K8" s="28">
        <v>194.0</v>
      </c>
      <c r="L8" s="28">
        <v>112.0</v>
      </c>
      <c r="M8" s="28">
        <v>2341.0</v>
      </c>
      <c r="N8" s="28">
        <v>109.0</v>
      </c>
      <c r="O8" s="29">
        <v>1390.0</v>
      </c>
      <c r="P8" s="30">
        <v>100.0</v>
      </c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0" customHeight="1">
      <c r="A9" s="9" t="s">
        <v>17</v>
      </c>
      <c r="B9" s="31" t="s">
        <v>19</v>
      </c>
      <c r="C9" s="24">
        <v>0.0</v>
      </c>
      <c r="D9" s="24">
        <v>5.0</v>
      </c>
      <c r="E9" s="24">
        <v>3.0</v>
      </c>
      <c r="F9" s="24">
        <v>0.0</v>
      </c>
      <c r="G9" s="24">
        <v>14.0</v>
      </c>
      <c r="H9" s="24">
        <v>42.0</v>
      </c>
      <c r="I9" s="24">
        <v>3.0</v>
      </c>
      <c r="J9" s="24">
        <v>1828.0</v>
      </c>
      <c r="K9" s="24">
        <v>25.0</v>
      </c>
      <c r="L9" s="24">
        <v>17.0</v>
      </c>
      <c r="M9" s="24">
        <v>322.0</v>
      </c>
      <c r="N9" s="24">
        <v>11.0</v>
      </c>
      <c r="O9" s="25">
        <v>506.0</v>
      </c>
      <c r="P9" s="26">
        <v>100.0</v>
      </c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9" t="s">
        <v>17</v>
      </c>
      <c r="B10" s="14" t="s">
        <v>20</v>
      </c>
      <c r="C10" s="28">
        <v>9.0</v>
      </c>
      <c r="D10" s="28">
        <v>667.0</v>
      </c>
      <c r="E10" s="28">
        <v>2.0</v>
      </c>
      <c r="F10" s="28">
        <v>2.0</v>
      </c>
      <c r="G10" s="28">
        <v>583.0</v>
      </c>
      <c r="H10" s="28">
        <v>113.0</v>
      </c>
      <c r="I10" s="28">
        <v>6.0</v>
      </c>
      <c r="J10" s="28">
        <v>17168.0</v>
      </c>
      <c r="K10" s="28">
        <v>153.0</v>
      </c>
      <c r="L10" s="28">
        <v>99.0</v>
      </c>
      <c r="M10" s="28">
        <v>5677.0</v>
      </c>
      <c r="N10" s="28">
        <v>74.0</v>
      </c>
      <c r="O10" s="29">
        <v>2000.0</v>
      </c>
      <c r="P10" s="30">
        <v>100.0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9" t="s">
        <v>17</v>
      </c>
      <c r="B11" s="31" t="s">
        <v>21</v>
      </c>
      <c r="C11" s="24">
        <v>19.0</v>
      </c>
      <c r="D11" s="24">
        <v>68.0</v>
      </c>
      <c r="E11" s="24">
        <v>1.0</v>
      </c>
      <c r="F11" s="24">
        <v>0.0</v>
      </c>
      <c r="G11" s="24">
        <v>191.0</v>
      </c>
      <c r="H11" s="24">
        <v>36.0</v>
      </c>
      <c r="I11" s="24">
        <v>0.0</v>
      </c>
      <c r="J11" s="24">
        <v>7447.0</v>
      </c>
      <c r="K11" s="24">
        <v>97.0</v>
      </c>
      <c r="L11" s="24">
        <v>36.0</v>
      </c>
      <c r="M11" s="24">
        <v>960.0</v>
      </c>
      <c r="N11" s="24">
        <v>42.0</v>
      </c>
      <c r="O11" s="25">
        <v>1088.0</v>
      </c>
      <c r="P11" s="26">
        <v>100.0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9" t="s">
        <v>17</v>
      </c>
      <c r="B12" s="14" t="s">
        <v>22</v>
      </c>
      <c r="C12" s="28">
        <v>118.0</v>
      </c>
      <c r="D12" s="28">
        <v>1417.0</v>
      </c>
      <c r="E12" s="28">
        <v>127.0</v>
      </c>
      <c r="F12" s="28">
        <v>76.0</v>
      </c>
      <c r="G12" s="28">
        <v>1760.0</v>
      </c>
      <c r="H12" s="28">
        <v>2218.0</v>
      </c>
      <c r="I12" s="28">
        <v>363.0</v>
      </c>
      <c r="J12" s="28">
        <v>99330.0</v>
      </c>
      <c r="K12" s="28">
        <v>1828.0</v>
      </c>
      <c r="L12" s="28">
        <v>878.0</v>
      </c>
      <c r="M12" s="28">
        <v>50304.0</v>
      </c>
      <c r="N12" s="28">
        <v>2219.0</v>
      </c>
      <c r="O12" s="29">
        <v>10121.0</v>
      </c>
      <c r="P12" s="30">
        <v>100.0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9" t="s">
        <v>17</v>
      </c>
      <c r="B13" s="31" t="s">
        <v>23</v>
      </c>
      <c r="C13" s="24">
        <v>3.0</v>
      </c>
      <c r="D13" s="24">
        <v>79.0</v>
      </c>
      <c r="E13" s="24">
        <v>0.0</v>
      </c>
      <c r="F13" s="24">
        <v>0.0</v>
      </c>
      <c r="G13" s="24">
        <v>112.0</v>
      </c>
      <c r="H13" s="24">
        <v>49.0</v>
      </c>
      <c r="I13" s="24">
        <v>0.0</v>
      </c>
      <c r="J13" s="24">
        <v>7841.0</v>
      </c>
      <c r="K13" s="24">
        <v>125.0</v>
      </c>
      <c r="L13" s="24">
        <v>9.0</v>
      </c>
      <c r="M13" s="24">
        <v>1062.0</v>
      </c>
      <c r="N13" s="24">
        <v>36.0</v>
      </c>
      <c r="O13" s="25">
        <v>1908.0</v>
      </c>
      <c r="P13" s="26">
        <v>100.0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0" customHeight="1">
      <c r="A14" s="9" t="s">
        <v>17</v>
      </c>
      <c r="B14" s="14" t="s">
        <v>24</v>
      </c>
      <c r="C14" s="28">
        <v>3.0</v>
      </c>
      <c r="D14" s="28">
        <v>162.0</v>
      </c>
      <c r="E14" s="28">
        <v>8.0</v>
      </c>
      <c r="F14" s="28">
        <v>3.0</v>
      </c>
      <c r="G14" s="28">
        <v>89.0</v>
      </c>
      <c r="H14" s="28">
        <v>181.0</v>
      </c>
      <c r="I14" s="28">
        <v>4.0</v>
      </c>
      <c r="J14" s="28">
        <v>13016.0</v>
      </c>
      <c r="K14" s="28">
        <v>100.0</v>
      </c>
      <c r="L14" s="28">
        <v>25.0</v>
      </c>
      <c r="M14" s="28">
        <v>2175.0</v>
      </c>
      <c r="N14" s="28">
        <v>57.0</v>
      </c>
      <c r="O14" s="29">
        <v>1214.0</v>
      </c>
      <c r="P14" s="30">
        <v>100.0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0" customHeight="1">
      <c r="A15" s="9" t="s">
        <v>17</v>
      </c>
      <c r="B15" s="31" t="s">
        <v>25</v>
      </c>
      <c r="C15" s="24">
        <v>0.0</v>
      </c>
      <c r="D15" s="24">
        <v>6.0</v>
      </c>
      <c r="E15" s="24">
        <v>0.0</v>
      </c>
      <c r="F15" s="24">
        <v>0.0</v>
      </c>
      <c r="G15" s="24">
        <v>7.0</v>
      </c>
      <c r="H15" s="24">
        <v>0.0</v>
      </c>
      <c r="I15" s="24">
        <v>0.0</v>
      </c>
      <c r="J15" s="24">
        <v>776.0</v>
      </c>
      <c r="K15" s="24">
        <v>1.0</v>
      </c>
      <c r="L15" s="24">
        <v>0.0</v>
      </c>
      <c r="M15" s="24">
        <v>487.0</v>
      </c>
      <c r="N15" s="24">
        <v>7.0</v>
      </c>
      <c r="O15" s="25">
        <v>231.0</v>
      </c>
      <c r="P15" s="26">
        <v>100.0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0" customHeight="1">
      <c r="A16" s="9" t="s">
        <v>17</v>
      </c>
      <c r="B16" s="14" t="s">
        <v>26</v>
      </c>
      <c r="C16" s="28">
        <v>0.0</v>
      </c>
      <c r="D16" s="28">
        <v>9.0</v>
      </c>
      <c r="E16" s="28">
        <v>0.0</v>
      </c>
      <c r="F16" s="28">
        <v>0.0</v>
      </c>
      <c r="G16" s="28">
        <v>20.0</v>
      </c>
      <c r="H16" s="28">
        <v>18.0</v>
      </c>
      <c r="I16" s="28">
        <v>0.0</v>
      </c>
      <c r="J16" s="28">
        <v>4502.0</v>
      </c>
      <c r="K16" s="28">
        <v>35.0</v>
      </c>
      <c r="L16" s="28">
        <v>1.0</v>
      </c>
      <c r="M16" s="28">
        <v>1049.0</v>
      </c>
      <c r="N16" s="28">
        <v>17.0</v>
      </c>
      <c r="O16" s="29">
        <v>228.0</v>
      </c>
      <c r="P16" s="30">
        <v>100.0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0" customHeight="1">
      <c r="A17" s="9" t="s">
        <v>17</v>
      </c>
      <c r="B17" s="31" t="s">
        <v>27</v>
      </c>
      <c r="C17" s="24">
        <v>38.0</v>
      </c>
      <c r="D17" s="24">
        <v>49.0</v>
      </c>
      <c r="E17" s="24">
        <v>7.0</v>
      </c>
      <c r="F17" s="24">
        <v>0.0</v>
      </c>
      <c r="G17" s="24">
        <v>103.0</v>
      </c>
      <c r="H17" s="24">
        <v>6.0</v>
      </c>
      <c r="I17" s="24">
        <v>0.0</v>
      </c>
      <c r="J17" s="24">
        <v>8393.0</v>
      </c>
      <c r="K17" s="24">
        <v>88.0</v>
      </c>
      <c r="L17" s="24">
        <v>23.0</v>
      </c>
      <c r="M17" s="24">
        <v>4014.0</v>
      </c>
      <c r="N17" s="24">
        <v>126.0</v>
      </c>
      <c r="O17" s="25">
        <v>3976.0</v>
      </c>
      <c r="P17" s="26">
        <v>100.0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0" customHeight="1">
      <c r="A18" s="9" t="s">
        <v>17</v>
      </c>
      <c r="B18" s="14" t="s">
        <v>28</v>
      </c>
      <c r="C18" s="28">
        <v>48.0</v>
      </c>
      <c r="D18" s="28">
        <v>1929.0</v>
      </c>
      <c r="E18" s="28">
        <v>0.0</v>
      </c>
      <c r="F18" s="28">
        <v>0.0</v>
      </c>
      <c r="G18" s="28">
        <v>102.0</v>
      </c>
      <c r="H18" s="28">
        <v>40.0</v>
      </c>
      <c r="I18" s="28">
        <v>2.0</v>
      </c>
      <c r="J18" s="28">
        <v>48667.0</v>
      </c>
      <c r="K18" s="28">
        <v>80.0</v>
      </c>
      <c r="L18" s="28">
        <v>30.0</v>
      </c>
      <c r="M18" s="28">
        <v>11589.0</v>
      </c>
      <c r="N18" s="28">
        <v>198.0</v>
      </c>
      <c r="O18" s="29">
        <v>2416.0</v>
      </c>
      <c r="P18" s="30">
        <v>100.0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0" customHeight="1">
      <c r="A19" s="9" t="s">
        <v>17</v>
      </c>
      <c r="B19" s="31" t="s">
        <v>29</v>
      </c>
      <c r="C19" s="24">
        <v>4.0</v>
      </c>
      <c r="D19" s="24">
        <v>141.0</v>
      </c>
      <c r="E19" s="24">
        <v>0.0</v>
      </c>
      <c r="F19" s="24">
        <v>0.0</v>
      </c>
      <c r="G19" s="24">
        <v>12.0</v>
      </c>
      <c r="H19" s="24">
        <v>0.0</v>
      </c>
      <c r="I19" s="24">
        <v>0.0</v>
      </c>
      <c r="J19" s="24">
        <v>0.0</v>
      </c>
      <c r="K19" s="24">
        <v>11.0</v>
      </c>
      <c r="L19" s="24">
        <v>3.0</v>
      </c>
      <c r="M19" s="24">
        <v>483.0</v>
      </c>
      <c r="N19" s="24">
        <v>4.0</v>
      </c>
      <c r="O19" s="25">
        <v>292.0</v>
      </c>
      <c r="P19" s="26">
        <v>100.0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0" customHeight="1">
      <c r="A20" s="9" t="s">
        <v>17</v>
      </c>
      <c r="B20" s="14" t="s">
        <v>30</v>
      </c>
      <c r="C20" s="28">
        <v>8.0</v>
      </c>
      <c r="D20" s="28">
        <v>50.0</v>
      </c>
      <c r="E20" s="28">
        <v>5.0</v>
      </c>
      <c r="F20" s="28">
        <v>3.0</v>
      </c>
      <c r="G20" s="28">
        <v>155.0</v>
      </c>
      <c r="H20" s="28">
        <v>35.0</v>
      </c>
      <c r="I20" s="28">
        <v>3.0</v>
      </c>
      <c r="J20" s="28">
        <v>2382.0</v>
      </c>
      <c r="K20" s="28">
        <v>45.0</v>
      </c>
      <c r="L20" s="28">
        <v>27.0</v>
      </c>
      <c r="M20" s="28">
        <v>911.0</v>
      </c>
      <c r="N20" s="28">
        <v>23.0</v>
      </c>
      <c r="O20" s="29">
        <v>725.0</v>
      </c>
      <c r="P20" s="30">
        <v>100.0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0" customHeight="1">
      <c r="A21" s="9" t="s">
        <v>17</v>
      </c>
      <c r="B21" s="31" t="s">
        <v>31</v>
      </c>
      <c r="C21" s="24">
        <v>36.0</v>
      </c>
      <c r="D21" s="24">
        <v>753.0</v>
      </c>
      <c r="E21" s="24">
        <v>11.0</v>
      </c>
      <c r="F21" s="24">
        <v>17.0</v>
      </c>
      <c r="G21" s="24">
        <v>1017.0</v>
      </c>
      <c r="H21" s="24">
        <v>422.0</v>
      </c>
      <c r="I21" s="24">
        <v>6090.0</v>
      </c>
      <c r="J21" s="24">
        <v>26116.0</v>
      </c>
      <c r="K21" s="24">
        <v>424.0</v>
      </c>
      <c r="L21" s="24">
        <v>400.0</v>
      </c>
      <c r="M21" s="24">
        <v>7528.0</v>
      </c>
      <c r="N21" s="24">
        <v>310.0</v>
      </c>
      <c r="O21" s="25">
        <v>4145.0</v>
      </c>
      <c r="P21" s="26">
        <v>100.0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0" customHeight="1">
      <c r="A22" s="9" t="s">
        <v>17</v>
      </c>
      <c r="B22" s="14" t="s">
        <v>32</v>
      </c>
      <c r="C22" s="28">
        <v>11.0</v>
      </c>
      <c r="D22" s="28">
        <v>488.0</v>
      </c>
      <c r="E22" s="28">
        <v>122.0</v>
      </c>
      <c r="F22" s="28">
        <v>26.0</v>
      </c>
      <c r="G22" s="28">
        <v>539.0</v>
      </c>
      <c r="H22" s="28">
        <v>343.0</v>
      </c>
      <c r="I22" s="28">
        <v>42.0</v>
      </c>
      <c r="J22" s="28">
        <v>17005.0</v>
      </c>
      <c r="K22" s="28">
        <v>263.0</v>
      </c>
      <c r="L22" s="28">
        <v>215.0</v>
      </c>
      <c r="M22" s="28">
        <v>2922.0</v>
      </c>
      <c r="N22" s="28">
        <v>152.0</v>
      </c>
      <c r="O22" s="29">
        <v>1886.0</v>
      </c>
      <c r="P22" s="30">
        <v>100.0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0" customHeight="1">
      <c r="A23" s="9" t="s">
        <v>17</v>
      </c>
      <c r="B23" s="31" t="s">
        <v>33</v>
      </c>
      <c r="C23" s="24">
        <v>1.0</v>
      </c>
      <c r="D23" s="24">
        <v>20.0</v>
      </c>
      <c r="E23" s="24">
        <v>10.0</v>
      </c>
      <c r="F23" s="24">
        <v>0.0</v>
      </c>
      <c r="G23" s="24">
        <v>168.0</v>
      </c>
      <c r="H23" s="24">
        <v>199.0</v>
      </c>
      <c r="I23" s="24">
        <v>20.0</v>
      </c>
      <c r="J23" s="24">
        <v>12852.0</v>
      </c>
      <c r="K23" s="24">
        <v>143.0</v>
      </c>
      <c r="L23" s="24">
        <v>52.0</v>
      </c>
      <c r="M23" s="24">
        <v>1512.0</v>
      </c>
      <c r="N23" s="24">
        <v>208.0</v>
      </c>
      <c r="O23" s="25">
        <v>1343.0</v>
      </c>
      <c r="P23" s="26">
        <v>100.0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0" customHeight="1">
      <c r="A24" s="9" t="s">
        <v>17</v>
      </c>
      <c r="B24" s="14" t="s">
        <v>34</v>
      </c>
      <c r="C24" s="28">
        <v>26.0</v>
      </c>
      <c r="D24" s="28">
        <v>69.0</v>
      </c>
      <c r="E24" s="28">
        <v>2.0</v>
      </c>
      <c r="F24" s="28">
        <v>1.0</v>
      </c>
      <c r="G24" s="28">
        <v>94.0</v>
      </c>
      <c r="H24" s="28">
        <v>105.0</v>
      </c>
      <c r="I24" s="28">
        <v>15.0</v>
      </c>
      <c r="J24" s="28">
        <v>10485.0</v>
      </c>
      <c r="K24" s="28">
        <v>88.0</v>
      </c>
      <c r="L24" s="28">
        <v>40.0</v>
      </c>
      <c r="M24" s="28">
        <v>3845.0</v>
      </c>
      <c r="N24" s="28">
        <v>35.0</v>
      </c>
      <c r="O24" s="29">
        <v>1350.0</v>
      </c>
      <c r="P24" s="30">
        <v>100.0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0" customHeight="1">
      <c r="A25" s="9" t="s">
        <v>17</v>
      </c>
      <c r="B25" s="31" t="s">
        <v>35</v>
      </c>
      <c r="C25" s="24">
        <v>1.0</v>
      </c>
      <c r="D25" s="24">
        <v>43.0</v>
      </c>
      <c r="E25" s="24">
        <v>0.0</v>
      </c>
      <c r="F25" s="24">
        <v>0.0</v>
      </c>
      <c r="G25" s="24">
        <v>40.0</v>
      </c>
      <c r="H25" s="24">
        <v>2.0</v>
      </c>
      <c r="I25" s="24">
        <v>0.0</v>
      </c>
      <c r="J25" s="24">
        <v>22516.0</v>
      </c>
      <c r="K25" s="24">
        <v>26.0</v>
      </c>
      <c r="L25" s="24">
        <v>174.0</v>
      </c>
      <c r="M25" s="24">
        <v>441.0</v>
      </c>
      <c r="N25" s="24">
        <v>166.0</v>
      </c>
      <c r="O25" s="25">
        <v>1401.0</v>
      </c>
      <c r="P25" s="26">
        <v>100.0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0" customHeight="1">
      <c r="A26" s="9" t="s">
        <v>17</v>
      </c>
      <c r="B26" s="14" t="s">
        <v>36</v>
      </c>
      <c r="C26" s="28">
        <v>0.0</v>
      </c>
      <c r="D26" s="28">
        <v>51.0</v>
      </c>
      <c r="E26" s="28">
        <v>2.0</v>
      </c>
      <c r="F26" s="28">
        <v>1.0</v>
      </c>
      <c r="G26" s="28">
        <v>169.0</v>
      </c>
      <c r="H26" s="28">
        <v>78.0</v>
      </c>
      <c r="I26" s="28">
        <v>3.0</v>
      </c>
      <c r="J26" s="28">
        <v>43275.0</v>
      </c>
      <c r="K26" s="28">
        <v>51.0</v>
      </c>
      <c r="L26" s="28">
        <v>14.0</v>
      </c>
      <c r="M26" s="28">
        <v>7498.0</v>
      </c>
      <c r="N26" s="28">
        <v>130.0</v>
      </c>
      <c r="O26" s="29">
        <v>1365.0</v>
      </c>
      <c r="P26" s="30">
        <v>100.0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0" customHeight="1">
      <c r="A27" s="9" t="s">
        <v>17</v>
      </c>
      <c r="B27" s="31" t="s">
        <v>37</v>
      </c>
      <c r="C27" s="24">
        <v>0.0</v>
      </c>
      <c r="D27" s="24">
        <v>19.0</v>
      </c>
      <c r="E27" s="24">
        <v>0.0</v>
      </c>
      <c r="F27" s="24">
        <v>0.0</v>
      </c>
      <c r="G27" s="24">
        <v>41.0</v>
      </c>
      <c r="H27" s="24">
        <v>27.0</v>
      </c>
      <c r="I27" s="24">
        <v>2.0</v>
      </c>
      <c r="J27" s="24">
        <v>1684.0</v>
      </c>
      <c r="K27" s="24">
        <v>46.0</v>
      </c>
      <c r="L27" s="24">
        <v>42.0</v>
      </c>
      <c r="M27" s="24">
        <v>412.0</v>
      </c>
      <c r="N27" s="24">
        <v>10.0</v>
      </c>
      <c r="O27" s="25">
        <v>579.0</v>
      </c>
      <c r="P27" s="26">
        <v>100.0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0" customHeight="1">
      <c r="A28" s="9" t="s">
        <v>17</v>
      </c>
      <c r="B28" s="14" t="s">
        <v>38</v>
      </c>
      <c r="C28" s="28">
        <v>7.0</v>
      </c>
      <c r="D28" s="28">
        <v>695.0</v>
      </c>
      <c r="E28" s="28">
        <v>2.0</v>
      </c>
      <c r="F28" s="28">
        <v>1.0</v>
      </c>
      <c r="G28" s="28">
        <v>681.0</v>
      </c>
      <c r="H28" s="28">
        <v>146.0</v>
      </c>
      <c r="I28" s="28">
        <v>2.0</v>
      </c>
      <c r="J28" s="28">
        <v>24753.0</v>
      </c>
      <c r="K28" s="28">
        <v>155.0</v>
      </c>
      <c r="L28" s="28">
        <v>81.0</v>
      </c>
      <c r="M28" s="28">
        <v>4764.0</v>
      </c>
      <c r="N28" s="28">
        <v>58.0</v>
      </c>
      <c r="O28" s="29">
        <v>1414.0</v>
      </c>
      <c r="P28" s="30">
        <v>87.836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0" customHeight="1">
      <c r="A29" s="9" t="s">
        <v>17</v>
      </c>
      <c r="B29" s="31" t="s">
        <v>39</v>
      </c>
      <c r="C29" s="24">
        <v>45.0</v>
      </c>
      <c r="D29" s="24">
        <v>204.0</v>
      </c>
      <c r="E29" s="24">
        <v>4.0</v>
      </c>
      <c r="F29" s="24">
        <v>3.0</v>
      </c>
      <c r="G29" s="24">
        <v>382.0</v>
      </c>
      <c r="H29" s="24">
        <v>293.0</v>
      </c>
      <c r="I29" s="24">
        <v>8.0</v>
      </c>
      <c r="J29" s="24">
        <v>13836.0</v>
      </c>
      <c r="K29" s="24">
        <v>147.0</v>
      </c>
      <c r="L29" s="24">
        <v>60.0</v>
      </c>
      <c r="M29" s="24">
        <v>4286.0</v>
      </c>
      <c r="N29" s="24">
        <v>63.0</v>
      </c>
      <c r="O29" s="25">
        <v>1870.0</v>
      </c>
      <c r="P29" s="26">
        <v>99.412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0" customHeight="1">
      <c r="A30" s="9" t="s">
        <v>17</v>
      </c>
      <c r="B30" s="14" t="s">
        <v>40</v>
      </c>
      <c r="C30" s="28">
        <v>19.0</v>
      </c>
      <c r="D30" s="28">
        <v>252.0</v>
      </c>
      <c r="E30" s="28">
        <v>87.0</v>
      </c>
      <c r="F30" s="28">
        <v>21.0</v>
      </c>
      <c r="G30" s="28">
        <v>671.0</v>
      </c>
      <c r="H30" s="28">
        <v>616.0</v>
      </c>
      <c r="I30" s="28">
        <v>330.0</v>
      </c>
      <c r="J30" s="28">
        <v>33573.0</v>
      </c>
      <c r="K30" s="28">
        <v>356.0</v>
      </c>
      <c r="L30" s="28">
        <v>191.0</v>
      </c>
      <c r="M30" s="28">
        <v>5274.0</v>
      </c>
      <c r="N30" s="28">
        <v>115.0</v>
      </c>
      <c r="O30" s="29">
        <v>3559.0</v>
      </c>
      <c r="P30" s="30">
        <v>100.0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0" customHeight="1">
      <c r="A31" s="9" t="s">
        <v>17</v>
      </c>
      <c r="B31" s="31" t="s">
        <v>41</v>
      </c>
      <c r="C31" s="24">
        <v>7.0</v>
      </c>
      <c r="D31" s="24">
        <v>195.0</v>
      </c>
      <c r="E31" s="24">
        <v>5.0</v>
      </c>
      <c r="F31" s="24">
        <v>0.0</v>
      </c>
      <c r="G31" s="24">
        <v>393.0</v>
      </c>
      <c r="H31" s="24">
        <v>223.0</v>
      </c>
      <c r="I31" s="24">
        <v>8.0</v>
      </c>
      <c r="J31" s="24">
        <v>19590.0</v>
      </c>
      <c r="K31" s="24">
        <v>251.0</v>
      </c>
      <c r="L31" s="24">
        <v>81.0</v>
      </c>
      <c r="M31" s="24">
        <v>4896.0</v>
      </c>
      <c r="N31" s="24">
        <v>77.0</v>
      </c>
      <c r="O31" s="25">
        <v>2232.0</v>
      </c>
      <c r="P31" s="26">
        <v>100.0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0" customHeight="1">
      <c r="A32" s="9" t="s">
        <v>17</v>
      </c>
      <c r="B32" s="14" t="s">
        <v>42</v>
      </c>
      <c r="C32" s="28">
        <v>1.0</v>
      </c>
      <c r="D32" s="28">
        <v>27.0</v>
      </c>
      <c r="E32" s="28">
        <v>2.0</v>
      </c>
      <c r="F32" s="28">
        <v>0.0</v>
      </c>
      <c r="G32" s="28">
        <v>96.0</v>
      </c>
      <c r="H32" s="28">
        <v>18.0</v>
      </c>
      <c r="I32" s="28">
        <v>11.0</v>
      </c>
      <c r="J32" s="28">
        <v>7088.0</v>
      </c>
      <c r="K32" s="28">
        <v>72.0</v>
      </c>
      <c r="L32" s="28">
        <v>20.0</v>
      </c>
      <c r="M32" s="28">
        <v>894.0</v>
      </c>
      <c r="N32" s="28">
        <v>103.0</v>
      </c>
      <c r="O32" s="29">
        <v>960.0</v>
      </c>
      <c r="P32" s="30">
        <v>100.0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0" customHeight="1">
      <c r="A33" s="9" t="s">
        <v>17</v>
      </c>
      <c r="B33" s="31" t="s">
        <v>43</v>
      </c>
      <c r="C33" s="24">
        <v>60.0</v>
      </c>
      <c r="D33" s="24">
        <v>433.0</v>
      </c>
      <c r="E33" s="24">
        <v>57.0</v>
      </c>
      <c r="F33" s="24">
        <v>28.0</v>
      </c>
      <c r="G33" s="24">
        <v>898.0</v>
      </c>
      <c r="H33" s="24">
        <v>378.0</v>
      </c>
      <c r="I33" s="24">
        <v>61.0</v>
      </c>
      <c r="J33" s="24">
        <v>22870.0</v>
      </c>
      <c r="K33" s="24">
        <v>511.0</v>
      </c>
      <c r="L33" s="24">
        <v>433.0</v>
      </c>
      <c r="M33" s="24">
        <v>4901.0</v>
      </c>
      <c r="N33" s="24">
        <v>120.0</v>
      </c>
      <c r="O33" s="25">
        <v>2381.0</v>
      </c>
      <c r="P33" s="26">
        <v>100.0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0" customHeight="1">
      <c r="A34" s="9" t="s">
        <v>17</v>
      </c>
      <c r="B34" s="14" t="s">
        <v>44</v>
      </c>
      <c r="C34" s="28">
        <v>2.0</v>
      </c>
      <c r="D34" s="28">
        <v>53.0</v>
      </c>
      <c r="E34" s="28">
        <v>0.0</v>
      </c>
      <c r="F34" s="28">
        <v>0.0</v>
      </c>
      <c r="G34" s="28">
        <v>49.0</v>
      </c>
      <c r="H34" s="28">
        <v>53.0</v>
      </c>
      <c r="I34" s="28">
        <v>16.0</v>
      </c>
      <c r="J34" s="28">
        <v>1579.0</v>
      </c>
      <c r="K34" s="28">
        <v>57.0</v>
      </c>
      <c r="L34" s="28">
        <v>35.0</v>
      </c>
      <c r="M34" s="28">
        <v>269.0</v>
      </c>
      <c r="N34" s="28">
        <v>12.0</v>
      </c>
      <c r="O34" s="29">
        <v>823.0</v>
      </c>
      <c r="P34" s="30">
        <v>96.233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0" customHeight="1">
      <c r="A35" s="9" t="s">
        <v>17</v>
      </c>
      <c r="B35" s="31" t="s">
        <v>45</v>
      </c>
      <c r="C35" s="24">
        <v>2.0</v>
      </c>
      <c r="D35" s="24">
        <v>132.0</v>
      </c>
      <c r="E35" s="24">
        <v>0.0</v>
      </c>
      <c r="F35" s="24">
        <v>0.0</v>
      </c>
      <c r="G35" s="24">
        <v>81.0</v>
      </c>
      <c r="H35" s="24">
        <v>126.0</v>
      </c>
      <c r="I35" s="24">
        <v>2.0</v>
      </c>
      <c r="J35" s="24">
        <v>10996.0</v>
      </c>
      <c r="K35" s="24">
        <v>95.0</v>
      </c>
      <c r="L35" s="24">
        <v>25.0</v>
      </c>
      <c r="M35" s="24">
        <v>2996.0</v>
      </c>
      <c r="N35" s="24">
        <v>15.0</v>
      </c>
      <c r="O35" s="25">
        <v>1055.0</v>
      </c>
      <c r="P35" s="26">
        <v>100.0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0" customHeight="1">
      <c r="A36" s="9" t="s">
        <v>17</v>
      </c>
      <c r="B36" s="14" t="s">
        <v>46</v>
      </c>
      <c r="C36" s="28">
        <v>0.0</v>
      </c>
      <c r="D36" s="28">
        <v>103.0</v>
      </c>
      <c r="E36" s="28">
        <v>1.0</v>
      </c>
      <c r="F36" s="28">
        <v>25.0</v>
      </c>
      <c r="G36" s="28">
        <v>1627.0</v>
      </c>
      <c r="H36" s="28">
        <v>17.0</v>
      </c>
      <c r="I36" s="28">
        <v>6.0</v>
      </c>
      <c r="J36" s="28">
        <v>12762.0</v>
      </c>
      <c r="K36" s="28">
        <v>5301.0</v>
      </c>
      <c r="L36" s="28">
        <v>139.0</v>
      </c>
      <c r="M36" s="28">
        <v>3587.0</v>
      </c>
      <c r="N36" s="28">
        <v>56.0</v>
      </c>
      <c r="O36" s="29">
        <v>704.0</v>
      </c>
      <c r="P36" s="30">
        <v>100.0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0" customHeight="1">
      <c r="A37" s="9" t="s">
        <v>17</v>
      </c>
      <c r="B37" s="31" t="s">
        <v>47</v>
      </c>
      <c r="C37" s="24">
        <v>0.0</v>
      </c>
      <c r="D37" s="24">
        <v>16.0</v>
      </c>
      <c r="E37" s="24">
        <v>0.0</v>
      </c>
      <c r="F37" s="24">
        <v>0.0</v>
      </c>
      <c r="G37" s="24">
        <v>38.0</v>
      </c>
      <c r="H37" s="24">
        <v>27.0</v>
      </c>
      <c r="I37" s="24">
        <v>10.0</v>
      </c>
      <c r="J37" s="24">
        <v>1858.0</v>
      </c>
      <c r="K37" s="24">
        <v>35.0</v>
      </c>
      <c r="L37" s="24">
        <v>24.0</v>
      </c>
      <c r="M37" s="24">
        <v>533.0</v>
      </c>
      <c r="N37" s="24">
        <v>1.0</v>
      </c>
      <c r="O37" s="25">
        <v>491.0</v>
      </c>
      <c r="P37" s="26">
        <v>100.0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0" customHeight="1">
      <c r="A38" s="9" t="s">
        <v>17</v>
      </c>
      <c r="B38" s="14" t="s">
        <v>48</v>
      </c>
      <c r="C38" s="28">
        <v>2.0</v>
      </c>
      <c r="D38" s="28">
        <v>101.0</v>
      </c>
      <c r="E38" s="28">
        <v>0.0</v>
      </c>
      <c r="F38" s="28">
        <v>0.0</v>
      </c>
      <c r="G38" s="28">
        <v>182.0</v>
      </c>
      <c r="H38" s="28">
        <v>95.0</v>
      </c>
      <c r="I38" s="28">
        <v>3.0</v>
      </c>
      <c r="J38" s="28">
        <v>7369.0</v>
      </c>
      <c r="K38" s="28">
        <v>137.0</v>
      </c>
      <c r="L38" s="28">
        <v>48.0</v>
      </c>
      <c r="M38" s="28">
        <v>1654.0</v>
      </c>
      <c r="N38" s="28">
        <v>57.0</v>
      </c>
      <c r="O38" s="29">
        <v>2561.0</v>
      </c>
      <c r="P38" s="30">
        <v>100.0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0" customHeight="1">
      <c r="A39" s="9" t="s">
        <v>17</v>
      </c>
      <c r="B39" s="31" t="s">
        <v>49</v>
      </c>
      <c r="C39" s="24">
        <v>2.0</v>
      </c>
      <c r="D39" s="24">
        <v>156.0</v>
      </c>
      <c r="E39" s="24">
        <v>9.0</v>
      </c>
      <c r="F39" s="24">
        <v>0.0</v>
      </c>
      <c r="G39" s="24">
        <v>94.0</v>
      </c>
      <c r="H39" s="24">
        <v>86.0</v>
      </c>
      <c r="I39" s="24">
        <v>8.0</v>
      </c>
      <c r="J39" s="24">
        <v>10074.0</v>
      </c>
      <c r="K39" s="24">
        <v>287.0</v>
      </c>
      <c r="L39" s="24">
        <v>26.0</v>
      </c>
      <c r="M39" s="24">
        <v>1212.0</v>
      </c>
      <c r="N39" s="24">
        <v>52.0</v>
      </c>
      <c r="O39" s="25">
        <v>866.0</v>
      </c>
      <c r="P39" s="26">
        <v>100.0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0" customHeight="1">
      <c r="A40" s="9" t="s">
        <v>17</v>
      </c>
      <c r="B40" s="14" t="s">
        <v>50</v>
      </c>
      <c r="C40" s="28">
        <v>23.0</v>
      </c>
      <c r="D40" s="28">
        <v>384.0</v>
      </c>
      <c r="E40" s="28">
        <v>0.0</v>
      </c>
      <c r="F40" s="28">
        <v>1.0</v>
      </c>
      <c r="G40" s="28">
        <v>267.0</v>
      </c>
      <c r="H40" s="28">
        <v>235.0</v>
      </c>
      <c r="I40" s="28">
        <v>10.0</v>
      </c>
      <c r="J40" s="28">
        <v>17203.0</v>
      </c>
      <c r="K40" s="28">
        <v>290.0</v>
      </c>
      <c r="L40" s="28">
        <v>103.0</v>
      </c>
      <c r="M40" s="28">
        <v>3672.0</v>
      </c>
      <c r="N40" s="28">
        <v>216.0</v>
      </c>
      <c r="O40" s="29">
        <v>4873.0</v>
      </c>
      <c r="P40" s="30">
        <v>100.0</v>
      </c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0" customHeight="1">
      <c r="A41" s="9" t="s">
        <v>17</v>
      </c>
      <c r="B41" s="31" t="s">
        <v>51</v>
      </c>
      <c r="C41" s="24">
        <v>52.0</v>
      </c>
      <c r="D41" s="24">
        <v>110.0</v>
      </c>
      <c r="E41" s="24">
        <v>2.0</v>
      </c>
      <c r="F41" s="24">
        <v>0.0</v>
      </c>
      <c r="G41" s="24">
        <v>45.0</v>
      </c>
      <c r="H41" s="24">
        <v>32.0</v>
      </c>
      <c r="I41" s="24">
        <v>2.0</v>
      </c>
      <c r="J41" s="24">
        <v>42868.0</v>
      </c>
      <c r="K41" s="24">
        <v>358.0</v>
      </c>
      <c r="L41" s="24">
        <v>289.0</v>
      </c>
      <c r="M41" s="24">
        <v>1522.0</v>
      </c>
      <c r="N41" s="24">
        <v>138.0</v>
      </c>
      <c r="O41" s="25">
        <v>2661.0</v>
      </c>
      <c r="P41" s="26">
        <v>100.0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0" customHeight="1">
      <c r="A42" s="9" t="s">
        <v>17</v>
      </c>
      <c r="B42" s="14" t="s">
        <v>52</v>
      </c>
      <c r="C42" s="28">
        <v>0.0</v>
      </c>
      <c r="D42" s="28">
        <v>9.0</v>
      </c>
      <c r="E42" s="28">
        <v>0.0</v>
      </c>
      <c r="F42" s="28">
        <v>0.0</v>
      </c>
      <c r="G42" s="28">
        <v>17.0</v>
      </c>
      <c r="H42" s="28">
        <v>27.0</v>
      </c>
      <c r="I42" s="28">
        <v>0.0</v>
      </c>
      <c r="J42" s="28">
        <v>782.0</v>
      </c>
      <c r="K42" s="28">
        <v>16.0</v>
      </c>
      <c r="L42" s="28">
        <v>22.0</v>
      </c>
      <c r="M42" s="28">
        <v>195.0</v>
      </c>
      <c r="N42" s="28">
        <v>10.0</v>
      </c>
      <c r="O42" s="29">
        <v>483.0</v>
      </c>
      <c r="P42" s="30">
        <v>100.0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0" customHeight="1">
      <c r="A43" s="9" t="s">
        <v>17</v>
      </c>
      <c r="B43" s="31" t="s">
        <v>53</v>
      </c>
      <c r="C43" s="24">
        <v>9.0</v>
      </c>
      <c r="D43" s="24">
        <v>623.0</v>
      </c>
      <c r="E43" s="24">
        <v>0.0</v>
      </c>
      <c r="F43" s="24">
        <v>1.0</v>
      </c>
      <c r="G43" s="24">
        <v>780.0</v>
      </c>
      <c r="H43" s="24">
        <v>323.0</v>
      </c>
      <c r="I43" s="24">
        <v>4.0</v>
      </c>
      <c r="J43" s="24">
        <v>37046.0</v>
      </c>
      <c r="K43" s="24">
        <v>594.0</v>
      </c>
      <c r="L43" s="24">
        <v>220.0</v>
      </c>
      <c r="M43" s="24">
        <v>5717.0</v>
      </c>
      <c r="N43" s="24">
        <v>177.0</v>
      </c>
      <c r="O43" s="25">
        <v>3593.0</v>
      </c>
      <c r="P43" s="26">
        <v>100.0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0" customHeight="1">
      <c r="A44" s="9" t="s">
        <v>17</v>
      </c>
      <c r="B44" s="14" t="s">
        <v>54</v>
      </c>
      <c r="C44" s="28">
        <v>9.0</v>
      </c>
      <c r="D44" s="28">
        <v>189.0</v>
      </c>
      <c r="E44" s="28">
        <v>3.0</v>
      </c>
      <c r="F44" s="28">
        <v>1.0</v>
      </c>
      <c r="G44" s="28">
        <v>553.0</v>
      </c>
      <c r="H44" s="28">
        <v>82.0</v>
      </c>
      <c r="I44" s="28">
        <v>23.0</v>
      </c>
      <c r="J44" s="28">
        <v>12995.0</v>
      </c>
      <c r="K44" s="28">
        <v>194.0</v>
      </c>
      <c r="L44" s="28">
        <v>86.0</v>
      </c>
      <c r="M44" s="28">
        <v>3115.0</v>
      </c>
      <c r="N44" s="28">
        <v>228.0</v>
      </c>
      <c r="O44" s="29">
        <v>1816.0</v>
      </c>
      <c r="P44" s="30">
        <v>100.0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0" customHeight="1">
      <c r="A45" s="9" t="s">
        <v>17</v>
      </c>
      <c r="B45" s="31" t="s">
        <v>55</v>
      </c>
      <c r="C45" s="24">
        <v>14.0</v>
      </c>
      <c r="D45" s="24">
        <v>69.0</v>
      </c>
      <c r="E45" s="24">
        <v>1.0</v>
      </c>
      <c r="F45" s="24">
        <v>0.0</v>
      </c>
      <c r="G45" s="24">
        <v>432.0</v>
      </c>
      <c r="H45" s="24">
        <v>44.0</v>
      </c>
      <c r="I45" s="24">
        <v>9.0</v>
      </c>
      <c r="J45" s="24">
        <v>16369.0</v>
      </c>
      <c r="K45" s="24">
        <v>82.0</v>
      </c>
      <c r="L45" s="24">
        <v>29.0</v>
      </c>
      <c r="M45" s="24">
        <v>3269.0</v>
      </c>
      <c r="N45" s="24">
        <v>100.0</v>
      </c>
      <c r="O45" s="25">
        <v>1289.0</v>
      </c>
      <c r="P45" s="26">
        <v>100.0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0" customHeight="1">
      <c r="A46" s="9" t="s">
        <v>17</v>
      </c>
      <c r="B46" s="14" t="s">
        <v>56</v>
      </c>
      <c r="C46" s="28">
        <v>24.0</v>
      </c>
      <c r="D46" s="28">
        <v>266.0</v>
      </c>
      <c r="E46" s="28">
        <v>30.0</v>
      </c>
      <c r="F46" s="28">
        <v>16.0</v>
      </c>
      <c r="G46" s="28">
        <v>337.0</v>
      </c>
      <c r="H46" s="28">
        <v>397.0</v>
      </c>
      <c r="I46" s="28">
        <v>24.0</v>
      </c>
      <c r="J46" s="28">
        <v>15714.0</v>
      </c>
      <c r="K46" s="28">
        <v>264.0</v>
      </c>
      <c r="L46" s="28">
        <v>223.0</v>
      </c>
      <c r="M46" s="28">
        <v>3450.0</v>
      </c>
      <c r="N46" s="28">
        <v>111.0</v>
      </c>
      <c r="O46" s="29">
        <v>3006.0</v>
      </c>
      <c r="P46" s="30">
        <v>100.0</v>
      </c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0" customHeight="1">
      <c r="A47" s="9" t="s">
        <v>17</v>
      </c>
      <c r="B47" s="31" t="s">
        <v>57</v>
      </c>
      <c r="C47" s="24">
        <v>3.0</v>
      </c>
      <c r="D47" s="24">
        <v>97.0</v>
      </c>
      <c r="E47" s="24">
        <v>6.0</v>
      </c>
      <c r="F47" s="24">
        <v>7.0</v>
      </c>
      <c r="G47" s="24">
        <v>127.0</v>
      </c>
      <c r="H47" s="24">
        <v>200.0</v>
      </c>
      <c r="I47" s="24">
        <v>0.0</v>
      </c>
      <c r="J47" s="24">
        <v>2914.0</v>
      </c>
      <c r="K47" s="24">
        <v>250.0</v>
      </c>
      <c r="L47" s="24">
        <v>30.0</v>
      </c>
      <c r="M47" s="24">
        <v>894.0</v>
      </c>
      <c r="N47" s="24">
        <v>24.0</v>
      </c>
      <c r="O47" s="25">
        <v>312.0</v>
      </c>
      <c r="P47" s="26">
        <v>100.0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0" customHeight="1">
      <c r="A48" s="9" t="s">
        <v>17</v>
      </c>
      <c r="B48" s="14" t="s">
        <v>58</v>
      </c>
      <c r="C48" s="28">
        <v>6.0</v>
      </c>
      <c r="D48" s="28">
        <v>258.0</v>
      </c>
      <c r="E48" s="28">
        <v>0.0</v>
      </c>
      <c r="F48" s="28">
        <v>3.0</v>
      </c>
      <c r="G48" s="28">
        <v>251.0</v>
      </c>
      <c r="H48" s="28">
        <v>181.0</v>
      </c>
      <c r="I48" s="28">
        <v>0.0</v>
      </c>
      <c r="J48" s="28">
        <v>12252.0</v>
      </c>
      <c r="K48" s="28">
        <v>144.0</v>
      </c>
      <c r="L48" s="28">
        <v>68.0</v>
      </c>
      <c r="M48" s="28">
        <v>6593.0</v>
      </c>
      <c r="N48" s="28">
        <v>97.0</v>
      </c>
      <c r="O48" s="29">
        <v>1243.0</v>
      </c>
      <c r="P48" s="30">
        <v>100.0</v>
      </c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0" customHeight="1">
      <c r="A49" s="9" t="s">
        <v>17</v>
      </c>
      <c r="B49" s="31" t="s">
        <v>59</v>
      </c>
      <c r="C49" s="24">
        <v>0.0</v>
      </c>
      <c r="D49" s="24">
        <v>2.0</v>
      </c>
      <c r="E49" s="24">
        <v>0.0</v>
      </c>
      <c r="F49" s="24">
        <v>0.0</v>
      </c>
      <c r="G49" s="24">
        <v>13.0</v>
      </c>
      <c r="H49" s="24">
        <v>9.0</v>
      </c>
      <c r="I49" s="24">
        <v>7.0</v>
      </c>
      <c r="J49" s="24">
        <v>1834.0</v>
      </c>
      <c r="K49" s="24">
        <v>34.0</v>
      </c>
      <c r="L49" s="24">
        <v>4.0</v>
      </c>
      <c r="M49" s="24">
        <v>2722.0</v>
      </c>
      <c r="N49" s="24">
        <v>15.0</v>
      </c>
      <c r="O49" s="25">
        <v>698.0</v>
      </c>
      <c r="P49" s="26">
        <v>100.0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0" customHeight="1">
      <c r="A50" s="9" t="s">
        <v>17</v>
      </c>
      <c r="B50" s="14" t="s">
        <v>60</v>
      </c>
      <c r="C50" s="28">
        <v>4.0</v>
      </c>
      <c r="D50" s="28">
        <v>119.0</v>
      </c>
      <c r="E50" s="28">
        <v>11.0</v>
      </c>
      <c r="F50" s="28">
        <v>1.0</v>
      </c>
      <c r="G50" s="28">
        <v>413.0</v>
      </c>
      <c r="H50" s="28">
        <v>220.0</v>
      </c>
      <c r="I50" s="28">
        <v>22.0</v>
      </c>
      <c r="J50" s="28">
        <v>11336.0</v>
      </c>
      <c r="K50" s="28">
        <v>266.0</v>
      </c>
      <c r="L50" s="28">
        <v>149.0</v>
      </c>
      <c r="M50" s="28">
        <v>2331.0</v>
      </c>
      <c r="N50" s="28">
        <v>97.0</v>
      </c>
      <c r="O50" s="29">
        <v>1777.0</v>
      </c>
      <c r="P50" s="30">
        <v>100.0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0" customHeight="1">
      <c r="A51" s="9" t="s">
        <v>17</v>
      </c>
      <c r="B51" s="31" t="s">
        <v>61</v>
      </c>
      <c r="C51" s="24">
        <v>23.0</v>
      </c>
      <c r="D51" s="24">
        <v>265.0</v>
      </c>
      <c r="E51" s="24">
        <v>36.0</v>
      </c>
      <c r="F51" s="24">
        <v>8.0</v>
      </c>
      <c r="G51" s="24">
        <v>777.0</v>
      </c>
      <c r="H51" s="24">
        <v>396.0</v>
      </c>
      <c r="I51" s="24">
        <v>26.0</v>
      </c>
      <c r="J51" s="24">
        <v>50929.0</v>
      </c>
      <c r="K51" s="24">
        <v>583.0</v>
      </c>
      <c r="L51" s="24">
        <v>535.0</v>
      </c>
      <c r="M51" s="24">
        <v>7265.0</v>
      </c>
      <c r="N51" s="24">
        <v>221.0</v>
      </c>
      <c r="O51" s="25">
        <v>8758.0</v>
      </c>
      <c r="P51" s="26">
        <v>100.0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0" customHeight="1">
      <c r="A52" s="9" t="s">
        <v>17</v>
      </c>
      <c r="B52" s="14" t="s">
        <v>62</v>
      </c>
      <c r="C52" s="28">
        <v>6.0</v>
      </c>
      <c r="D52" s="28">
        <v>382.0</v>
      </c>
      <c r="E52" s="28">
        <v>0.0</v>
      </c>
      <c r="F52" s="28">
        <v>0.0</v>
      </c>
      <c r="G52" s="28">
        <v>207.0</v>
      </c>
      <c r="H52" s="28">
        <v>106.0</v>
      </c>
      <c r="I52" s="28">
        <v>2.0</v>
      </c>
      <c r="J52" s="28">
        <v>5208.0</v>
      </c>
      <c r="K52" s="28">
        <v>120.0</v>
      </c>
      <c r="L52" s="28">
        <v>37.0</v>
      </c>
      <c r="M52" s="28">
        <v>1189.0</v>
      </c>
      <c r="N52" s="28">
        <v>144.0</v>
      </c>
      <c r="O52" s="29">
        <v>1029.0</v>
      </c>
      <c r="P52" s="30">
        <v>100.0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0" customHeight="1">
      <c r="A53" s="9" t="s">
        <v>17</v>
      </c>
      <c r="B53" s="31" t="s">
        <v>63</v>
      </c>
      <c r="C53" s="24">
        <v>0.0</v>
      </c>
      <c r="D53" s="24">
        <v>3.0</v>
      </c>
      <c r="E53" s="24">
        <v>0.0</v>
      </c>
      <c r="F53" s="24">
        <v>0.0</v>
      </c>
      <c r="G53" s="24">
        <v>20.0</v>
      </c>
      <c r="H53" s="24">
        <v>53.0</v>
      </c>
      <c r="I53" s="24">
        <v>0.0</v>
      </c>
      <c r="J53" s="24">
        <v>947.0</v>
      </c>
      <c r="K53" s="24">
        <v>29.0</v>
      </c>
      <c r="L53" s="24">
        <v>22.0</v>
      </c>
      <c r="M53" s="24">
        <v>388.0</v>
      </c>
      <c r="N53" s="24">
        <v>12.0</v>
      </c>
      <c r="O53" s="25">
        <v>302.0</v>
      </c>
      <c r="P53" s="26">
        <v>100.0</v>
      </c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0" customHeight="1">
      <c r="A54" s="9" t="s">
        <v>17</v>
      </c>
      <c r="B54" s="14" t="s">
        <v>64</v>
      </c>
      <c r="C54" s="28">
        <v>18.0</v>
      </c>
      <c r="D54" s="28">
        <v>494.0</v>
      </c>
      <c r="E54" s="28">
        <v>1.0</v>
      </c>
      <c r="F54" s="28">
        <v>0.0</v>
      </c>
      <c r="G54" s="28">
        <v>576.0</v>
      </c>
      <c r="H54" s="28">
        <v>80.0</v>
      </c>
      <c r="I54" s="28">
        <v>0.0</v>
      </c>
      <c r="J54" s="28">
        <v>23897.0</v>
      </c>
      <c r="K54" s="28">
        <v>110.0</v>
      </c>
      <c r="L54" s="28">
        <v>89.0</v>
      </c>
      <c r="M54" s="28">
        <v>5369.0</v>
      </c>
      <c r="N54" s="28">
        <v>102.0</v>
      </c>
      <c r="O54" s="29">
        <v>1982.0</v>
      </c>
      <c r="P54" s="30">
        <v>100.0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0" customHeight="1">
      <c r="A55" s="9" t="s">
        <v>17</v>
      </c>
      <c r="B55" s="31" t="s">
        <v>65</v>
      </c>
      <c r="C55" s="24">
        <v>7.0</v>
      </c>
      <c r="D55" s="24">
        <v>774.0</v>
      </c>
      <c r="E55" s="24">
        <v>80.0</v>
      </c>
      <c r="F55" s="24">
        <v>31.0</v>
      </c>
      <c r="G55" s="24">
        <v>780.0</v>
      </c>
      <c r="H55" s="24">
        <v>516.0</v>
      </c>
      <c r="I55" s="24">
        <v>22.0</v>
      </c>
      <c r="J55" s="24">
        <v>22173.0</v>
      </c>
      <c r="K55" s="24">
        <v>571.0</v>
      </c>
      <c r="L55" s="24">
        <v>231.0</v>
      </c>
      <c r="M55" s="24">
        <v>6006.0</v>
      </c>
      <c r="N55" s="24">
        <v>187.0</v>
      </c>
      <c r="O55" s="25">
        <v>2339.0</v>
      </c>
      <c r="P55" s="26">
        <v>100.0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0" customHeight="1">
      <c r="A56" s="9" t="s">
        <v>17</v>
      </c>
      <c r="B56" s="14" t="s">
        <v>66</v>
      </c>
      <c r="C56" s="28">
        <v>0.0</v>
      </c>
      <c r="D56" s="28">
        <v>30.0</v>
      </c>
      <c r="E56" s="28">
        <v>0.0</v>
      </c>
      <c r="F56" s="28">
        <v>0.0</v>
      </c>
      <c r="G56" s="28">
        <v>40.0</v>
      </c>
      <c r="H56" s="28">
        <v>6.0</v>
      </c>
      <c r="I56" s="28">
        <v>0.0</v>
      </c>
      <c r="J56" s="28">
        <v>5994.0</v>
      </c>
      <c r="K56" s="28">
        <v>61.0</v>
      </c>
      <c r="L56" s="28">
        <v>49.0</v>
      </c>
      <c r="M56" s="28">
        <v>1433.0</v>
      </c>
      <c r="N56" s="28">
        <v>58.0</v>
      </c>
      <c r="O56" s="29">
        <v>691.0</v>
      </c>
      <c r="P56" s="30">
        <v>100.0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0" customHeight="1">
      <c r="A57" s="9" t="s">
        <v>17</v>
      </c>
      <c r="B57" s="31" t="s">
        <v>67</v>
      </c>
      <c r="C57" s="24">
        <v>13.0</v>
      </c>
      <c r="D57" s="24">
        <v>325.0</v>
      </c>
      <c r="E57" s="24">
        <v>7.0</v>
      </c>
      <c r="F57" s="24">
        <v>7.0</v>
      </c>
      <c r="G57" s="24">
        <v>279.0</v>
      </c>
      <c r="H57" s="24">
        <v>203.0</v>
      </c>
      <c r="I57" s="24">
        <v>29.0</v>
      </c>
      <c r="J57" s="24">
        <v>33864.0</v>
      </c>
      <c r="K57" s="24">
        <v>369.0</v>
      </c>
      <c r="L57" s="24">
        <v>122.0</v>
      </c>
      <c r="M57" s="24">
        <v>8531.0</v>
      </c>
      <c r="N57" s="24">
        <v>172.0</v>
      </c>
      <c r="O57" s="25">
        <v>2235.0</v>
      </c>
      <c r="P57" s="26">
        <v>99.955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0" customHeight="1">
      <c r="A58" s="9" t="s">
        <v>17</v>
      </c>
      <c r="B58" s="14" t="s">
        <v>68</v>
      </c>
      <c r="C58" s="28">
        <v>0.0</v>
      </c>
      <c r="D58" s="28">
        <v>17.0</v>
      </c>
      <c r="E58" s="28">
        <v>0.0</v>
      </c>
      <c r="F58" s="28">
        <v>0.0</v>
      </c>
      <c r="G58" s="28">
        <v>30.0</v>
      </c>
      <c r="H58" s="28">
        <v>6.0</v>
      </c>
      <c r="I58" s="28">
        <v>0.0</v>
      </c>
      <c r="J58" s="28">
        <v>3099.0</v>
      </c>
      <c r="K58" s="28">
        <v>13.0</v>
      </c>
      <c r="L58" s="28">
        <v>7.0</v>
      </c>
      <c r="M58" s="28">
        <v>483.0</v>
      </c>
      <c r="N58" s="28">
        <v>3.0</v>
      </c>
      <c r="O58" s="29">
        <v>366.0</v>
      </c>
      <c r="P58" s="30">
        <v>100.0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0" customHeight="1">
      <c r="A59" s="9" t="s">
        <v>17</v>
      </c>
      <c r="B59" s="32" t="s">
        <v>69</v>
      </c>
      <c r="C59" s="33">
        <v>2.0</v>
      </c>
      <c r="D59" s="33">
        <v>9.0</v>
      </c>
      <c r="E59" s="33">
        <v>1.0</v>
      </c>
      <c r="F59" s="33">
        <v>0.0</v>
      </c>
      <c r="G59" s="33">
        <v>19.0</v>
      </c>
      <c r="H59" s="33">
        <v>4.0</v>
      </c>
      <c r="I59" s="33">
        <v>1.0</v>
      </c>
      <c r="J59" s="33">
        <v>293.0</v>
      </c>
      <c r="K59" s="33">
        <v>2.0</v>
      </c>
      <c r="L59" s="33">
        <v>1.0</v>
      </c>
      <c r="M59" s="33">
        <v>86.0</v>
      </c>
      <c r="N59" s="33">
        <v>11.0</v>
      </c>
      <c r="O59" s="34">
        <v>1099.0</v>
      </c>
      <c r="P59" s="35">
        <v>100.0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0" customHeight="1">
      <c r="A60" s="9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0" customHeight="1">
      <c r="A61" s="9"/>
      <c r="B61" s="36" t="str">
        <f>CONCATENATE("NOTE: Table reads (for 50 states, District of Columbia, and Puerto Rico): The number of incidents of sexual assualt was ",TEXT(D7,"#,##0"),".")</f>
        <v>NOTE: Table reads (for 50 states, District of Columbia, and Puerto Rico): The number of incidents of sexual assualt was 13,114.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0" customHeight="1">
      <c r="A62" s="9"/>
      <c r="B62" s="37" t="s">
        <v>70</v>
      </c>
      <c r="S62" s="14"/>
      <c r="T62" s="14"/>
      <c r="U62" s="14"/>
      <c r="V62" s="14"/>
      <c r="W62" s="14"/>
      <c r="X62" s="14"/>
      <c r="Y62" s="14"/>
      <c r="Z62" s="14"/>
    </row>
    <row r="63" ht="13.5" customHeight="1">
      <c r="A63" s="2"/>
      <c r="B63" s="37" t="s">
        <v>71</v>
      </c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1"/>
      <c r="B65" s="1"/>
      <c r="C65" s="38" t="str">
        <f t="shared" ref="C65:N65" si="1">IF(ISTEXT(C7),LEFT(C7,3),TEXT(C7,"#,##0"))</f>
        <v>685</v>
      </c>
      <c r="D65" s="38" t="str">
        <f t="shared" si="1"/>
        <v>13,114</v>
      </c>
      <c r="E65" s="38" t="str">
        <f t="shared" si="1"/>
        <v>650</v>
      </c>
      <c r="F65" s="38" t="str">
        <f t="shared" si="1"/>
        <v>283</v>
      </c>
      <c r="G65" s="38" t="str">
        <f t="shared" si="1"/>
        <v>16,480</v>
      </c>
      <c r="H65" s="38" t="str">
        <f t="shared" si="1"/>
        <v>9,178</v>
      </c>
      <c r="I65" s="38" t="str">
        <f t="shared" si="1"/>
        <v>7,217</v>
      </c>
      <c r="J65" s="38" t="str">
        <f t="shared" si="1"/>
        <v>844,435</v>
      </c>
      <c r="K65" s="38" t="str">
        <f t="shared" si="1"/>
        <v>15,577</v>
      </c>
      <c r="L65" s="38" t="str">
        <f t="shared" si="1"/>
        <v>5,676</v>
      </c>
      <c r="M65" s="38" t="str">
        <f t="shared" si="1"/>
        <v>205,028</v>
      </c>
      <c r="N65" s="38" t="str">
        <f t="shared" si="1"/>
        <v>6,786</v>
      </c>
      <c r="O65" s="2"/>
      <c r="P65" s="2"/>
      <c r="Q65" s="39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1"/>
      <c r="B69" s="2"/>
      <c r="C69" s="40" t="str">
        <f t="shared" ref="C69:N69" si="2">IF(ISTEXT(C7),LEFT(C7,3),TEXT(C7,"#,##0"))</f>
        <v>685</v>
      </c>
      <c r="D69" s="40" t="str">
        <f t="shared" si="2"/>
        <v>13,114</v>
      </c>
      <c r="E69" s="40" t="str">
        <f t="shared" si="2"/>
        <v>650</v>
      </c>
      <c r="F69" s="40" t="str">
        <f t="shared" si="2"/>
        <v>283</v>
      </c>
      <c r="G69" s="40" t="str">
        <f t="shared" si="2"/>
        <v>16,480</v>
      </c>
      <c r="H69" s="40" t="str">
        <f t="shared" si="2"/>
        <v>9,178</v>
      </c>
      <c r="I69" s="40" t="str">
        <f t="shared" si="2"/>
        <v>7,217</v>
      </c>
      <c r="J69" s="40" t="str">
        <f t="shared" si="2"/>
        <v>844,435</v>
      </c>
      <c r="K69" s="40" t="str">
        <f t="shared" si="2"/>
        <v>15,577</v>
      </c>
      <c r="L69" s="40" t="str">
        <f t="shared" si="2"/>
        <v>5,676</v>
      </c>
      <c r="M69" s="40" t="str">
        <f t="shared" si="2"/>
        <v>205,028</v>
      </c>
      <c r="N69" s="40" t="str">
        <f t="shared" si="2"/>
        <v>6,786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B62:R62"/>
    <mergeCell ref="B63:R63"/>
    <mergeCell ref="B2:R2"/>
    <mergeCell ref="B4:B5"/>
    <mergeCell ref="C4:C5"/>
    <mergeCell ref="D4:D5"/>
    <mergeCell ref="E4:E5"/>
    <mergeCell ref="F4:F5"/>
    <mergeCell ref="G4:G5"/>
  </mergeCells>
  <printOptions horizontalCentered="1"/>
  <pageMargins bottom="0.75" footer="0.0" header="0.0" left="0.25" right="0.25" top="0.75"/>
  <pageSetup orientation="landscape"/>
  <drawing r:id="rId1"/>
</worksheet>
</file>